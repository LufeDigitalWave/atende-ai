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  <sheet xmlns:r="http://schemas.openxmlformats.org/officeDocument/2006/relationships" name="Pacotes" sheetId="2" state="visible" r:id="rId2"/>
    <sheet xmlns:r="http://schemas.openxmlformats.org/officeDocument/2006/relationships" name="Custos LL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"/>
    <numFmt numFmtId="166" formatCode="0.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color rgb="000000FF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Calculadora de Pricing — WhatsApp Agents</t>
        </is>
      </c>
    </row>
    <row r="3">
      <c r="A3" s="2" t="inlineStr">
        <is>
          <t>INPUTS DO PROJETO</t>
        </is>
      </c>
    </row>
    <row r="4">
      <c r="A4" t="inlineStr">
        <is>
          <t>Pacote</t>
        </is>
      </c>
      <c r="B4" s="3" t="inlineStr">
        <is>
          <t>Starter</t>
        </is>
      </c>
    </row>
    <row r="5">
      <c r="A5" t="inlineStr">
        <is>
          <t>Conversas/mês estimadas</t>
        </is>
      </c>
      <c r="B5" s="3" t="n">
        <v>500</v>
      </c>
    </row>
    <row r="6">
      <c r="A6" t="inlineStr">
        <is>
          <t>Custo LLM por conversa (R$)</t>
        </is>
      </c>
      <c r="B6" s="3" t="n">
        <v>0.04</v>
      </c>
    </row>
    <row r="7">
      <c r="A7" t="inlineStr">
        <is>
          <t>Custo infra/mês (R$)</t>
        </is>
      </c>
      <c r="B7" s="3" t="n">
        <v>150</v>
      </c>
    </row>
    <row r="8">
      <c r="A8" t="inlineStr">
        <is>
          <t>Implantação cobrada (R$)</t>
        </is>
      </c>
      <c r="B8" s="3" t="n">
        <v>2500</v>
      </c>
    </row>
    <row r="9">
      <c r="A9" t="inlineStr">
        <is>
          <t>Mensalidade cobrada (R$)</t>
        </is>
      </c>
      <c r="B9" s="3" t="n">
        <v>600</v>
      </c>
    </row>
    <row r="10">
      <c r="A10" t="inlineStr">
        <is>
          <t>Horas de trabalho estimadas</t>
        </is>
      </c>
      <c r="B10" s="3" t="n">
        <v>30</v>
      </c>
    </row>
    <row r="11">
      <c r="A11" t="inlineStr">
        <is>
          <t>Valor hora desejado (R$/h)</t>
        </is>
      </c>
      <c r="B11" s="3" t="n">
        <v>80</v>
      </c>
    </row>
    <row r="13">
      <c r="A13" s="2" t="inlineStr">
        <is>
          <t>RESULTADOS</t>
        </is>
      </c>
    </row>
    <row r="14">
      <c r="A14" t="inlineStr">
        <is>
          <t>Custo LLM mensal (R$)</t>
        </is>
      </c>
      <c r="B14" s="4">
        <f>B5*B6</f>
        <v/>
      </c>
    </row>
    <row r="15">
      <c r="A15" t="inlineStr">
        <is>
          <t>Custo total operação/mês (R$)</t>
        </is>
      </c>
      <c r="B15" s="4">
        <f>B14+B7</f>
        <v/>
      </c>
    </row>
    <row r="16">
      <c r="A16" t="inlineStr">
        <is>
          <t>Lucro mensal bruto (R$)</t>
        </is>
      </c>
      <c r="B16" s="4">
        <f>B9-B15</f>
        <v/>
      </c>
    </row>
    <row r="17">
      <c r="A17" t="inlineStr">
        <is>
          <t>Margem mensal (%)</t>
        </is>
      </c>
      <c r="B17" s="5">
        <f>IF(B9&gt;0,B16/B9,0)</f>
        <v/>
      </c>
    </row>
    <row r="18">
      <c r="A18" t="inlineStr">
        <is>
          <t>Custo de entrega (R$)</t>
        </is>
      </c>
      <c r="B18" s="4">
        <f>B10*B11</f>
        <v/>
      </c>
    </row>
    <row r="19">
      <c r="A19" t="inlineStr">
        <is>
          <t>Lucro implantação (R$)</t>
        </is>
      </c>
      <c r="B19" s="4">
        <f>B8-B18</f>
        <v/>
      </c>
    </row>
    <row r="20">
      <c r="A20" t="inlineStr">
        <is>
          <t>Margem implantação (%)</t>
        </is>
      </c>
      <c r="B20" s="5">
        <f>IF(B8&gt;0,B19/B8,0)</f>
        <v/>
      </c>
    </row>
    <row r="21">
      <c r="A21" t="inlineStr">
        <is>
          <t>Payback do cliente (meses de lucro mensal)</t>
        </is>
      </c>
      <c r="B21" s="6">
        <f>IF(B16&gt;0,B8/B16,99)</f>
        <v/>
      </c>
    </row>
    <row r="22">
      <c r="A22" t="inlineStr">
        <is>
          <t>Revenue anual estimado (R$)</t>
        </is>
      </c>
      <c r="B22" s="4">
        <f>B8+(B9*12)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7" t="inlineStr">
        <is>
          <t>Pacote</t>
        </is>
      </c>
      <c r="B1" s="7" t="inlineStr">
        <is>
          <t>Implantação min</t>
        </is>
      </c>
      <c r="C1" s="7" t="inlineStr">
        <is>
          <t>Implantação max</t>
        </is>
      </c>
      <c r="D1" s="7" t="inlineStr">
        <is>
          <t>Mensalidade min</t>
        </is>
      </c>
      <c r="E1" s="7" t="inlineStr">
        <is>
          <t>Mensalidade max</t>
        </is>
      </c>
      <c r="F1" s="7" t="inlineStr">
        <is>
          <t>Prazo dias</t>
        </is>
      </c>
      <c r="G1" s="7" t="inlineStr">
        <is>
          <t>Perfil</t>
        </is>
      </c>
    </row>
    <row r="2">
      <c r="A2" t="inlineStr">
        <is>
          <t>Starter</t>
        </is>
      </c>
      <c r="B2" s="4" t="n">
        <v>1500</v>
      </c>
      <c r="C2" s="4" t="n">
        <v>3000</v>
      </c>
      <c r="D2" s="4" t="n">
        <v>300</v>
      </c>
      <c r="E2" s="4" t="n">
        <v>800</v>
      </c>
      <c r="F2" t="inlineStr">
        <is>
          <t>7-10</t>
        </is>
      </c>
      <c r="G2" t="inlineStr">
        <is>
          <t>1 agente, 1 fluxo, handoff</t>
        </is>
      </c>
    </row>
    <row r="3">
      <c r="A3" t="inlineStr">
        <is>
          <t>Pro</t>
        </is>
      </c>
      <c r="B3" s="4" t="n">
        <v>3500</v>
      </c>
      <c r="C3" s="4" t="n">
        <v>8000</v>
      </c>
      <c r="D3" s="4" t="n">
        <v>800</v>
      </c>
      <c r="E3" s="4" t="n">
        <v>2000</v>
      </c>
      <c r="F3" t="inlineStr">
        <is>
          <t>10-20</t>
        </is>
      </c>
      <c r="G3" t="inlineStr">
        <is>
          <t>RAG, CRM/agenda, métricas</t>
        </is>
      </c>
    </row>
    <row r="4">
      <c r="A4" t="inlineStr">
        <is>
          <t>Business</t>
        </is>
      </c>
      <c r="B4" s="4" t="n">
        <v>8000</v>
      </c>
      <c r="C4" s="4" t="n">
        <v>20000</v>
      </c>
      <c r="D4" s="4" t="n">
        <v>2000</v>
      </c>
      <c r="E4" s="4" t="n">
        <v>5000</v>
      </c>
      <c r="F4" t="inlineStr">
        <is>
          <t>20-40</t>
        </is>
      </c>
      <c r="G4" t="inlineStr">
        <is>
          <t>Multiagente, integrações, operação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7" t="inlineStr">
        <is>
          <t>Modelo</t>
        </is>
      </c>
      <c r="B1" s="7" t="inlineStr">
        <is>
          <t>Input/1M tokens</t>
        </is>
      </c>
      <c r="C1" s="7" t="inlineStr">
        <is>
          <t>Output/1M tokens</t>
        </is>
      </c>
      <c r="D1" s="7" t="inlineStr">
        <is>
          <t>Custo por conversa (8 turnos)</t>
        </is>
      </c>
      <c r="E1" s="7" t="inlineStr">
        <is>
          <t>Obs</t>
        </is>
      </c>
    </row>
    <row r="2">
      <c r="A2" t="inlineStr">
        <is>
          <t>Claude Haiku 4.5</t>
        </is>
      </c>
      <c r="B2" t="n">
        <v>0.8</v>
      </c>
      <c r="C2" t="n">
        <v>4</v>
      </c>
      <c r="D2" t="n">
        <v>0.02</v>
      </c>
      <c r="E2" t="inlineStr">
        <is>
          <t>Melhor custo-benefício</t>
        </is>
      </c>
    </row>
    <row r="3">
      <c r="A3" t="inlineStr">
        <is>
          <t>Claude Sonnet 4.6</t>
        </is>
      </c>
      <c r="B3" t="n">
        <v>3</v>
      </c>
      <c r="C3" t="n">
        <v>15</v>
      </c>
      <c r="D3" t="n">
        <v>0.08</v>
      </c>
      <c r="E3" t="inlineStr">
        <is>
          <t>Alta qualidade</t>
        </is>
      </c>
    </row>
    <row r="4">
      <c r="A4" t="inlineStr">
        <is>
          <t>GPT-4o-mini</t>
        </is>
      </c>
      <c r="B4" t="n">
        <v>0.15</v>
      </c>
      <c r="C4" t="n">
        <v>0.6</v>
      </c>
      <c r="D4" t="n">
        <v>0.01</v>
      </c>
      <c r="E4" t="inlineStr">
        <is>
          <t>Mais barato</t>
        </is>
      </c>
    </row>
    <row r="5">
      <c r="A5" t="inlineStr">
        <is>
          <t>GPT-4.1-mini</t>
        </is>
      </c>
      <c r="B5" t="n">
        <v>0.4</v>
      </c>
      <c r="C5" t="n">
        <v>1.6</v>
      </c>
      <c r="D5" t="n">
        <v>0.02</v>
      </c>
      <c r="E5" t="inlineStr">
        <is>
          <t>Factory/extractor</t>
        </is>
      </c>
    </row>
    <row r="6">
      <c r="A6" t="inlineStr">
        <is>
          <t>GPT-4.1</t>
        </is>
      </c>
      <c r="B6" t="n">
        <v>2</v>
      </c>
      <c r="C6" t="n">
        <v>8</v>
      </c>
      <c r="D6" t="n">
        <v>0.05</v>
      </c>
      <c r="E6" t="inlineStr">
        <is>
          <t>Complexo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2026-07-27T18:36:36Z</dcterms:created>
  <dcterms:modified xmlns:dcterms="http://purl.org/dc/terms/" xmlns:xsi="http://www.w3.org/2001/XMLSchema-instance" xsi:type="dcterms:W3CDTF">2026-07-27T18:36:36Z</dcterms:modified>
</cp:coreProperties>
</file>